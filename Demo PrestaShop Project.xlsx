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 PrestaShop Test Cases" sheetId="1" r:id="rId5"/>
  </sheets>
  <definedNames/>
  <calcPr/>
</workbook>
</file>

<file path=xl/sharedStrings.xml><?xml version="1.0" encoding="utf-8"?>
<sst xmlns="http://schemas.openxmlformats.org/spreadsheetml/2006/main" count="184" uniqueCount="118">
  <si>
    <t>Campaign</t>
  </si>
  <si>
    <t>Suite</t>
  </si>
  <si>
    <t>ID test</t>
  </si>
  <si>
    <t>Test Title</t>
  </si>
  <si>
    <t>Test Type</t>
  </si>
  <si>
    <t>Precondition</t>
  </si>
  <si>
    <t>N° d'étape</t>
  </si>
  <si>
    <t>Steps</t>
  </si>
  <si>
    <t>Expected Results</t>
  </si>
  <si>
    <t>Actual Result</t>
  </si>
  <si>
    <t>Status</t>
  </si>
  <si>
    <t>PrestaShop Demo</t>
  </si>
  <si>
    <t>Environment Access</t>
  </si>
  <si>
    <t>TC_ENV_001</t>
  </si>
  <si>
    <t>Verify access to PrestaShop Front-Office</t>
  </si>
  <si>
    <t>Functional</t>
  </si>
  <si>
    <t>Valid Demo environment URL.</t>
  </si>
  <si>
    <t>Navigate to the PrestaShop Front-Office URL.</t>
  </si>
  <si>
    <t>Home page loads successfully with all default UI components visible without errors.</t>
  </si>
  <si>
    <t>Pass</t>
  </si>
  <si>
    <t>TC_ENV_002</t>
  </si>
  <si>
    <t>Verify access to PrestaShop Back-Office</t>
  </si>
  <si>
    <t xml:space="preserve">Functional </t>
  </si>
  <si>
    <t>Valid Back-Office admin URL and credentials.</t>
  </si>
  <si>
    <t>Navigate to the Admin login URL.Enter valid admin credentials and click "Login".</t>
  </si>
  <si>
    <t>Admin login page displays correctly.Admin Dashboard loads with access to catalog and user settings.</t>
  </si>
  <si>
    <t>User Management</t>
  </si>
  <si>
    <t>TC_USER_001</t>
  </si>
  <si>
    <t>Validate new user registration with valid data</t>
  </si>
  <si>
    <t>User is on the Front-Office registration page.</t>
  </si>
  <si>
    <t>Fill out all mandatory fields (Name, Email, Password).Accept privacy policy and click "Save".</t>
  </si>
  <si>
    <t>Account is successfully created; user is automatically logged in and redirected to the home page.</t>
  </si>
  <si>
    <t>Account was successfully created; user was automatically logged in and redirected to the homepage.</t>
  </si>
  <si>
    <t>TC_USER_002</t>
  </si>
  <si>
    <t>Validate registration failure with an existing email</t>
  </si>
  <si>
    <t>An account already exists with the test email address.</t>
  </si>
  <si>
    <t>Navigate to registration page.Fill out form using the already registered email and submit.</t>
  </si>
  <si>
    <t>Registration fails; a clear error message indicates the email address is already in use.</t>
  </si>
  <si>
    <t>TC_USER_003</t>
  </si>
  <si>
    <t>Validate registration fields data validation (Password strength/Missing field)</t>
  </si>
  <si>
    <t>User is on the registration page.</t>
  </si>
  <si>
    <t>Leave the "Last Name" field empty and enter a short password.Click "Save".</t>
  </si>
  <si>
    <t>Form submission is blocked; inline error messages highlight the missing fields/invalid data.</t>
  </si>
  <si>
    <t>TC_USER_004</t>
  </si>
  <si>
    <t>Validate user login with valid credentials</t>
  </si>
  <si>
    <t>Test user account is registered and active.</t>
  </si>
  <si>
    <t>Navigate to the Sign-In page.Enter valid credentials and click "Sign In".</t>
  </si>
  <si>
    <t>User successfully logs in; user's name is displayed in the header banner.</t>
  </si>
  <si>
    <t>TC_USER_005</t>
  </si>
  <si>
    <t>Validate user login failure with incorrect password</t>
  </si>
  <si>
    <t>Test user account exists.</t>
  </si>
  <si>
    <t>Navigate to Sign-In page.Enter valid email but an incorrect password, click "Sign In".</t>
  </si>
  <si>
    <t>Login fails; "Authentication failed" error message appears; user remains unauthenticated.</t>
  </si>
  <si>
    <t>Product Catalog</t>
  </si>
  <si>
    <t>TC_PROD_001</t>
  </si>
  <si>
    <t>Verify new product addition via Back-Office</t>
  </si>
  <si>
    <t>Admin logged into Back-Office; product data list available.</t>
  </si>
  <si>
    <t>Navigate to Catalog &gt; Products and click "New Product".Fill in Name, Description, Price, and Quantity.Upload product image and click "Save".</t>
  </si>
  <si>
    <t>Product is saved successfully with a confirmation message; status is set to 'Active'.</t>
  </si>
  <si>
    <t>Fail</t>
  </si>
  <si>
    <t>TC_PROD_002</t>
  </si>
  <si>
    <t>Verify product search on Front-Office</t>
  </si>
  <si>
    <t>Product from the list has been successfully added to the catalog.</t>
  </si>
  <si>
    <t>Navigate to Front-Office home page.Enter the exact product name in the search bar and press Enter.</t>
  </si>
  <si>
    <t>The specific product is displayed accurately in the search results list.</t>
  </si>
  <si>
    <t>TC_PROD_003</t>
  </si>
  <si>
    <t>Verify product details page layout and attributes</t>
  </si>
  <si>
    <t>Product is searchable/visible on Front-Office.</t>
  </si>
  <si>
    <t>Click on the product from the search results or homepage.</t>
  </si>
  <si>
    <t>Product details page opens displaying correct name, price, description, images, and stock status.</t>
  </si>
  <si>
    <t>TC_PROD_004</t>
  </si>
  <si>
    <t>Verify stock decrement after adding to cart</t>
  </si>
  <si>
    <t>Product has a specific stock amount (e.g., 10).</t>
  </si>
  <si>
    <t>Check current stock in Back-Office.On Front-Office, add 2 units of the product to the shopping cart.</t>
  </si>
  <si>
    <t>Cart updates to show 2 items; (Stock in BO decrements or reserves accordingly depending on config).</t>
  </si>
  <si>
    <t>Cart updated to show 3 items and stock in Back-Office did not decrement.</t>
  </si>
  <si>
    <t>Checkout Process</t>
  </si>
  <si>
    <t>TC_CHKT_001</t>
  </si>
  <si>
    <t>Validate adding a product to the cart</t>
  </si>
  <si>
    <t>User is on a product details page.</t>
  </si>
  <si>
    <t>Select quantity and click the "Add to Cart" button.</t>
  </si>
  <si>
    <t>A confirmation modal appears showing "Product successfully added to your shopping cart".</t>
  </si>
  <si>
    <t>TC_CHKT_002</t>
  </si>
  <si>
    <t>Validate Shopping Cart summary page adjustments</t>
  </si>
  <si>
    <t>Products are added to the cart.</t>
  </si>
  <si>
    <t>Navigate to the Cart summary page.Increase the quantity of an item and click update/refresh.</t>
  </si>
  <si>
    <t>Total prices, taxes, and shipping estimates recalculate accurately based on the new quantity.</t>
  </si>
  <si>
    <t>TC_CHKT_003</t>
  </si>
  <si>
    <t>Validate Checkout - Step 1: Personal Information</t>
  </si>
  <si>
    <t>User has items in cart and clicks "Proceed to Checkout" as a guest or logged-in user.</t>
  </si>
  <si>
    <t>Proceed to checkout stage and fill/verify personal details.</t>
  </si>
  <si>
    <t>Personal information step is validated and marked complete; user moves to the Address step.</t>
  </si>
  <si>
    <t>TC_CHKT_004</t>
  </si>
  <si>
    <t>Validate Checkout - Step 2: Addresses entry</t>
  </si>
  <si>
    <t>Personal Info step completed.</t>
  </si>
  <si>
    <t>Enter valid Delivery and Billing addresses.Click "Continue".</t>
  </si>
  <si>
    <t>Addresses are successfully saved and displayed in the summary check step; system advances to Shipping.</t>
  </si>
  <si>
    <t>TC_CHKT_005</t>
  </si>
  <si>
    <t>Validate Checkout - Step 3: Shipping Method selection</t>
  </si>
  <si>
    <t>Address step completed.</t>
  </si>
  <si>
    <t>Select a shipping carrier (e.g., My Carrier).Click "Continue".</t>
  </si>
  <si>
    <t>Shipping cost is added to the cart order total; user advances to the Payment step.</t>
  </si>
  <si>
    <t>TC_CHKT_006</t>
  </si>
  <si>
    <t>Validate Checkout - Step 4: Payment Method &amp; Order Confirmation</t>
  </si>
  <si>
    <t>Shipping step completed.</t>
  </si>
  <si>
    <t>Select a payment method (e.g., Pay by check/Bank transfer).Check "I agree to the terms of service".Click "Place Order".</t>
  </si>
  <si>
    <t>Order confirmation page is displayed with an Order Reference Number; order status is set to "Awaiting payment".</t>
  </si>
  <si>
    <t>TC_CHKT_007</t>
  </si>
  <si>
    <t>Verify Order creation in Back-Office</t>
  </si>
  <si>
    <t>Functional / End-to-End</t>
  </si>
  <si>
    <t>An order has been successfully placed on the Front-Office.</t>
  </si>
  <si>
    <t>Log in to Back-Office.Navigate to Orders &gt; Orders.</t>
  </si>
  <si>
    <t>The recently placed order is visible at the top of the list with the correct customer name, reference, and total cost.</t>
  </si>
  <si>
    <t>TC_USER_007</t>
  </si>
  <si>
    <t>Verify Order History visibility in Customer Account</t>
  </si>
  <si>
    <t>Order placed by the logged-in test user.</t>
  </si>
  <si>
    <t>Navigate to Front-Office &gt; "My Account".Click on "Order history and details".</t>
  </si>
  <si>
    <t>The placed order is visible with the correct order reference, date, pricing, and current fulfillment status.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</si>
</sst>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1" t="s">
        <v>11</v>
      </c>
      <c r="B2" s="1" t="s">
        <v>12</v>
      </c>
      <c r="C2" s="1" t="s">
        <v>13</v>
      </c>
      <c r="D2" s="1" t="s">
        <v>14</v>
      </c>
      <c r="E2" s="1" t="s">
        <v>15</v>
      </c>
      <c r="F2" s="1" t="s">
        <v>16</v>
      </c>
      <c r="G2" s="1">
        <v>1.0</v>
      </c>
      <c r="H2" s="1" t="s">
        <v>17</v>
      </c>
      <c r="I2" s="1" t="s">
        <v>18</v>
      </c>
      <c r="J2" s="2" t="str">
        <f>IFERROR(__xludf.DUMMYFUNCTION("AI(""Fill an appropriate value for this cell based on the table context"")"),"Home page loaded successfully with all default UI components visible without errors.")</f>
        <v>Home page loaded successfully with all default UI components visible without errors.</v>
      </c>
      <c r="K2" s="3" t="s">
        <v>19</v>
      </c>
      <c r="L2" s="2"/>
      <c r="M2" s="2"/>
      <c r="N2" s="2"/>
      <c r="O2" s="2"/>
      <c r="P2" s="2"/>
      <c r="Q2" s="2"/>
      <c r="R2" s="2"/>
      <c r="S2" s="2"/>
      <c r="T2" s="2"/>
      <c r="U2" s="2"/>
      <c r="V2" s="2"/>
      <c r="W2" s="2"/>
      <c r="X2" s="2"/>
      <c r="Y2" s="2"/>
      <c r="Z2" s="2"/>
    </row>
    <row r="3">
      <c r="A3" s="1" t="s">
        <v>11</v>
      </c>
      <c r="B3" s="1" t="s">
        <v>12</v>
      </c>
      <c r="C3" s="1" t="s">
        <v>20</v>
      </c>
      <c r="D3" s="1" t="s">
        <v>21</v>
      </c>
      <c r="E3" s="1" t="s">
        <v>22</v>
      </c>
      <c r="F3" s="1" t="s">
        <v>23</v>
      </c>
      <c r="G3" s="1">
        <v>12.0</v>
      </c>
      <c r="H3" s="1" t="s">
        <v>24</v>
      </c>
      <c r="I3" s="1" t="s">
        <v>25</v>
      </c>
      <c r="J3" s="2" t="str">
        <f>IFERROR(__xludf.DUMMYFUNCTION("AI(""Fill an appropriate value for this cell based on the table context"")"),"Admin login page displayed correctly.Admin Dashboard loaded with access to catalog and user settings.")</f>
        <v>Admin login page displayed correctly.Admin Dashboard loaded with access to catalog and user settings.</v>
      </c>
      <c r="K3" s="3" t="s">
        <v>19</v>
      </c>
      <c r="L3" s="2"/>
      <c r="M3" s="2"/>
      <c r="N3" s="2"/>
      <c r="O3" s="2"/>
      <c r="P3" s="2"/>
      <c r="Q3" s="2"/>
      <c r="R3" s="2"/>
      <c r="S3" s="2"/>
      <c r="T3" s="2"/>
      <c r="U3" s="2"/>
      <c r="V3" s="2"/>
      <c r="W3" s="2"/>
      <c r="X3" s="2"/>
      <c r="Y3" s="2"/>
      <c r="Z3" s="2"/>
    </row>
    <row r="4">
      <c r="A4" s="1" t="s">
        <v>11</v>
      </c>
      <c r="B4" s="1" t="s">
        <v>26</v>
      </c>
      <c r="C4" s="1" t="s">
        <v>27</v>
      </c>
      <c r="D4" s="1" t="s">
        <v>28</v>
      </c>
      <c r="E4" s="1" t="s">
        <v>15</v>
      </c>
      <c r="F4" s="1" t="s">
        <v>29</v>
      </c>
      <c r="G4" s="1">
        <v>12.0</v>
      </c>
      <c r="H4" s="1" t="s">
        <v>30</v>
      </c>
      <c r="I4" s="1" t="s">
        <v>31</v>
      </c>
      <c r="J4" s="1" t="s">
        <v>32</v>
      </c>
      <c r="K4" s="3" t="s">
        <v>19</v>
      </c>
      <c r="L4" s="2"/>
      <c r="M4" s="2"/>
      <c r="N4" s="2"/>
      <c r="O4" s="2"/>
      <c r="P4" s="2"/>
      <c r="Q4" s="2"/>
      <c r="R4" s="2"/>
      <c r="S4" s="2"/>
      <c r="T4" s="2"/>
      <c r="U4" s="2"/>
      <c r="V4" s="2"/>
      <c r="W4" s="2"/>
      <c r="X4" s="2"/>
      <c r="Y4" s="2"/>
      <c r="Z4" s="2"/>
    </row>
    <row r="5">
      <c r="A5" s="1" t="s">
        <v>11</v>
      </c>
      <c r="B5" s="1" t="s">
        <v>26</v>
      </c>
      <c r="C5" s="1" t="s">
        <v>33</v>
      </c>
      <c r="D5" s="1" t="s">
        <v>34</v>
      </c>
      <c r="E5" s="1" t="s">
        <v>15</v>
      </c>
      <c r="F5" s="1" t="s">
        <v>35</v>
      </c>
      <c r="G5" s="1">
        <v>12.0</v>
      </c>
      <c r="H5" s="1" t="s">
        <v>36</v>
      </c>
      <c r="I5" s="1" t="s">
        <v>37</v>
      </c>
      <c r="J5" s="2" t="str">
        <f>IFERROR(__xludf.DUMMYFUNCTION("AI(""Fill an appropriate value for this cell based on the table context"")"),"Registration failed; a clear error message indicated the email address was already in use.")</f>
        <v>Registration failed; a clear error message indicated the email address was already in use.</v>
      </c>
      <c r="K5" s="3" t="s">
        <v>19</v>
      </c>
      <c r="L5" s="2"/>
      <c r="M5" s="2"/>
      <c r="N5" s="2"/>
      <c r="O5" s="2"/>
      <c r="P5" s="2"/>
      <c r="Q5" s="2"/>
      <c r="R5" s="2"/>
      <c r="S5" s="2"/>
      <c r="T5" s="2"/>
      <c r="U5" s="2"/>
      <c r="V5" s="2"/>
      <c r="W5" s="2"/>
      <c r="X5" s="2"/>
      <c r="Y5" s="2"/>
      <c r="Z5" s="2"/>
    </row>
    <row r="6">
      <c r="A6" s="1" t="s">
        <v>11</v>
      </c>
      <c r="B6" s="1" t="s">
        <v>26</v>
      </c>
      <c r="C6" s="1" t="s">
        <v>38</v>
      </c>
      <c r="D6" s="1" t="s">
        <v>39</v>
      </c>
      <c r="E6" s="1" t="s">
        <v>22</v>
      </c>
      <c r="F6" s="1" t="s">
        <v>40</v>
      </c>
      <c r="G6" s="1">
        <v>12.0</v>
      </c>
      <c r="H6" s="1" t="s">
        <v>41</v>
      </c>
      <c r="I6" s="1" t="s">
        <v>42</v>
      </c>
      <c r="J6" s="2" t="str">
        <f>IFERROR(__xludf.DUMMYFUNCTION("AI(""Fill an appropriate value for this cell based on the table context"")"),"Form submission was blocked; inline error messages highlighted the missing fields/invalid data.")</f>
        <v>Form submission was blocked; inline error messages highlighted the missing fields/invalid data.</v>
      </c>
      <c r="K6" s="3" t="s">
        <v>19</v>
      </c>
      <c r="L6" s="2"/>
      <c r="M6" s="2"/>
      <c r="N6" s="2"/>
      <c r="O6" s="2"/>
      <c r="P6" s="2"/>
      <c r="Q6" s="2"/>
      <c r="R6" s="2"/>
      <c r="S6" s="2"/>
      <c r="T6" s="2"/>
      <c r="U6" s="2"/>
      <c r="V6" s="2"/>
      <c r="W6" s="2"/>
      <c r="X6" s="2"/>
      <c r="Y6" s="2"/>
      <c r="Z6" s="2"/>
    </row>
    <row r="7">
      <c r="A7" s="1" t="s">
        <v>11</v>
      </c>
      <c r="B7" s="1" t="s">
        <v>26</v>
      </c>
      <c r="C7" s="1" t="s">
        <v>43</v>
      </c>
      <c r="D7" s="1" t="s">
        <v>44</v>
      </c>
      <c r="E7" s="1" t="s">
        <v>15</v>
      </c>
      <c r="F7" s="1" t="s">
        <v>45</v>
      </c>
      <c r="G7" s="1">
        <v>12.0</v>
      </c>
      <c r="H7" s="1" t="s">
        <v>46</v>
      </c>
      <c r="I7" s="1" t="s">
        <v>47</v>
      </c>
      <c r="J7" s="2" t="str">
        <f>IFERROR(__xludf.DUMMYFUNCTION("AI(""Fill an appropriate value for this cell based on the table context"")"),"User successfully logged in; user's name was displayed in the header banner.")</f>
        <v>User successfully logged in; user's name was displayed in the header banner.</v>
      </c>
      <c r="K7" s="3" t="s">
        <v>19</v>
      </c>
      <c r="L7" s="2"/>
      <c r="M7" s="2"/>
      <c r="N7" s="2"/>
      <c r="O7" s="2"/>
      <c r="P7" s="2"/>
      <c r="Q7" s="2"/>
      <c r="R7" s="2"/>
      <c r="S7" s="2"/>
      <c r="T7" s="2"/>
      <c r="U7" s="2"/>
      <c r="V7" s="2"/>
      <c r="W7" s="2"/>
      <c r="X7" s="2"/>
      <c r="Y7" s="2"/>
      <c r="Z7" s="2"/>
    </row>
    <row r="8">
      <c r="A8" s="1" t="s">
        <v>11</v>
      </c>
      <c r="B8" s="1" t="s">
        <v>26</v>
      </c>
      <c r="C8" s="1" t="s">
        <v>48</v>
      </c>
      <c r="D8" s="1" t="s">
        <v>49</v>
      </c>
      <c r="E8" s="1" t="s">
        <v>15</v>
      </c>
      <c r="F8" s="1" t="s">
        <v>50</v>
      </c>
      <c r="G8" s="1">
        <v>12.0</v>
      </c>
      <c r="H8" s="1" t="s">
        <v>51</v>
      </c>
      <c r="I8" s="1" t="s">
        <v>52</v>
      </c>
      <c r="J8" s="2" t="str">
        <f>IFERROR(__xludf.DUMMYFUNCTION("AI(""Fill an appropriate value for this cell based on the table context"")"),"Login failed; ""Authentication failed"" error message appeared; user remained unauthenticated.")</f>
        <v>Login failed; "Authentication failed" error message appeared; user remained unauthenticated.</v>
      </c>
      <c r="K8" s="3" t="s">
        <v>19</v>
      </c>
      <c r="L8" s="2"/>
      <c r="M8" s="2"/>
      <c r="N8" s="2"/>
      <c r="O8" s="2"/>
      <c r="P8" s="2"/>
      <c r="Q8" s="2"/>
      <c r="R8" s="2"/>
      <c r="S8" s="2"/>
      <c r="T8" s="2"/>
      <c r="U8" s="2"/>
      <c r="V8" s="2"/>
      <c r="W8" s="2"/>
      <c r="X8" s="2"/>
      <c r="Y8" s="2"/>
      <c r="Z8" s="2"/>
    </row>
    <row r="9">
      <c r="A9" s="1" t="s">
        <v>11</v>
      </c>
      <c r="B9" s="1" t="s">
        <v>53</v>
      </c>
      <c r="C9" s="1" t="s">
        <v>54</v>
      </c>
      <c r="D9" s="1" t="s">
        <v>55</v>
      </c>
      <c r="E9" s="1" t="s">
        <v>15</v>
      </c>
      <c r="F9" s="1" t="s">
        <v>56</v>
      </c>
      <c r="G9" s="1">
        <v>123.0</v>
      </c>
      <c r="H9" s="1" t="s">
        <v>57</v>
      </c>
      <c r="I9" s="1" t="s">
        <v>58</v>
      </c>
      <c r="J9" s="2" t="str">
        <f>IFERROR(__xludf.DUMMYFUNCTION("AI(""Fill an appropriate value for this cell based on the table context"")"),"Product saving failed; a server error occurred and the product could not be saved.")</f>
        <v>Product saving failed; a server error occurred and the product could not be saved.</v>
      </c>
      <c r="K9" s="4" t="s">
        <v>59</v>
      </c>
      <c r="L9" s="2"/>
      <c r="M9" s="2"/>
      <c r="N9" s="2"/>
      <c r="O9" s="2"/>
      <c r="P9" s="2"/>
      <c r="Q9" s="2"/>
      <c r="R9" s="2"/>
      <c r="S9" s="2"/>
      <c r="T9" s="2"/>
      <c r="U9" s="2"/>
      <c r="V9" s="2"/>
      <c r="W9" s="2"/>
      <c r="X9" s="2"/>
      <c r="Y9" s="2"/>
      <c r="Z9" s="2"/>
    </row>
    <row r="10">
      <c r="A10" s="1" t="s">
        <v>11</v>
      </c>
      <c r="B10" s="1" t="s">
        <v>53</v>
      </c>
      <c r="C10" s="1" t="s">
        <v>60</v>
      </c>
      <c r="D10" s="1" t="s">
        <v>61</v>
      </c>
      <c r="E10" s="1" t="s">
        <v>15</v>
      </c>
      <c r="F10" s="1" t="s">
        <v>62</v>
      </c>
      <c r="G10" s="1">
        <v>12.0</v>
      </c>
      <c r="H10" s="1" t="s">
        <v>63</v>
      </c>
      <c r="I10" s="1" t="s">
        <v>64</v>
      </c>
      <c r="J10" s="2" t="str">
        <f>IFERROR(__xludf.DUMMYFUNCTION("AI(""Fill an appropriate value for this cell based on the table context"")"),"The specific product was displayed accurately in the search results list.")</f>
        <v>The specific product was displayed accurately in the search results list.</v>
      </c>
      <c r="K10" s="3" t="s">
        <v>19</v>
      </c>
      <c r="L10" s="2"/>
      <c r="M10" s="2"/>
      <c r="N10" s="2"/>
      <c r="O10" s="2"/>
      <c r="P10" s="2"/>
      <c r="Q10" s="2"/>
      <c r="R10" s="2"/>
      <c r="S10" s="2"/>
      <c r="T10" s="2"/>
      <c r="U10" s="2"/>
      <c r="V10" s="2"/>
      <c r="W10" s="2"/>
      <c r="X10" s="2"/>
      <c r="Y10" s="2"/>
      <c r="Z10" s="2"/>
    </row>
    <row r="11">
      <c r="A11" s="1" t="s">
        <v>11</v>
      </c>
      <c r="B11" s="1" t="s">
        <v>53</v>
      </c>
      <c r="C11" s="1" t="s">
        <v>65</v>
      </c>
      <c r="D11" s="1" t="s">
        <v>66</v>
      </c>
      <c r="E11" s="1" t="s">
        <v>15</v>
      </c>
      <c r="F11" s="1" t="s">
        <v>67</v>
      </c>
      <c r="G11" s="1">
        <v>1.0</v>
      </c>
      <c r="H11" s="1" t="s">
        <v>68</v>
      </c>
      <c r="I11" s="1" t="s">
        <v>69</v>
      </c>
      <c r="J11" s="2" t="str">
        <f>IFERROR(__xludf.DUMMYFUNCTION("AI(""Fill an appropriate value for this cell based on the table context"")"),"Product details page opened displaying correct name, price, description, images, and stock status.")</f>
        <v>Product details page opened displaying correct name, price, description, images, and stock status.</v>
      </c>
      <c r="K11" s="3" t="s">
        <v>19</v>
      </c>
      <c r="L11" s="2"/>
      <c r="M11" s="2"/>
      <c r="N11" s="2"/>
      <c r="O11" s="2"/>
      <c r="P11" s="2"/>
      <c r="Q11" s="2"/>
      <c r="R11" s="2"/>
      <c r="S11" s="2"/>
      <c r="T11" s="2"/>
      <c r="U11" s="2"/>
      <c r="V11" s="2"/>
      <c r="W11" s="2"/>
      <c r="X11" s="2"/>
      <c r="Y11" s="2"/>
      <c r="Z11" s="2"/>
    </row>
    <row r="12">
      <c r="A12" s="1" t="s">
        <v>11</v>
      </c>
      <c r="B12" s="1" t="s">
        <v>53</v>
      </c>
      <c r="C12" s="1" t="s">
        <v>70</v>
      </c>
      <c r="D12" s="1" t="s">
        <v>71</v>
      </c>
      <c r="E12" s="1" t="s">
        <v>15</v>
      </c>
      <c r="F12" s="1" t="s">
        <v>72</v>
      </c>
      <c r="G12" s="1">
        <v>12.0</v>
      </c>
      <c r="H12" s="1" t="s">
        <v>73</v>
      </c>
      <c r="I12" s="1" t="s">
        <v>74</v>
      </c>
      <c r="J12" s="1" t="s">
        <v>75</v>
      </c>
      <c r="K12" s="4" t="s">
        <v>59</v>
      </c>
      <c r="L12" s="2"/>
      <c r="M12" s="2"/>
      <c r="N12" s="2"/>
      <c r="O12" s="2"/>
      <c r="P12" s="2"/>
      <c r="Q12" s="2"/>
      <c r="R12" s="2"/>
      <c r="S12" s="2"/>
      <c r="T12" s="2"/>
      <c r="U12" s="2"/>
      <c r="V12" s="2"/>
      <c r="W12" s="2"/>
      <c r="X12" s="2"/>
      <c r="Y12" s="2"/>
      <c r="Z12" s="2"/>
    </row>
    <row r="13">
      <c r="A13" s="1" t="s">
        <v>11</v>
      </c>
      <c r="B13" s="1" t="s">
        <v>76</v>
      </c>
      <c r="C13" s="1" t="s">
        <v>77</v>
      </c>
      <c r="D13" s="1" t="s">
        <v>78</v>
      </c>
      <c r="E13" s="1" t="s">
        <v>15</v>
      </c>
      <c r="F13" s="1" t="s">
        <v>79</v>
      </c>
      <c r="G13" s="1">
        <v>1.0</v>
      </c>
      <c r="H13" s="1" t="s">
        <v>80</v>
      </c>
      <c r="I13" s="1" t="s">
        <v>81</v>
      </c>
      <c r="J13" s="2" t="str">
        <f>IFERROR(__xludf.DUMMYFUNCTION("AI(""Fill an appropriate value for this cell based on the table context"")"),"A confirmation modal appeared showing ""Product successfully added to your shopping cart"".")</f>
        <v>A confirmation modal appeared showing "Product successfully added to your shopping cart".</v>
      </c>
      <c r="K13" s="3" t="s">
        <v>19</v>
      </c>
      <c r="L13" s="2"/>
      <c r="M13" s="2"/>
      <c r="N13" s="2"/>
      <c r="O13" s="2"/>
      <c r="P13" s="2"/>
      <c r="Q13" s="2"/>
      <c r="R13" s="2"/>
      <c r="S13" s="2"/>
      <c r="T13" s="2"/>
      <c r="U13" s="2"/>
      <c r="V13" s="2"/>
      <c r="W13" s="2"/>
      <c r="X13" s="2"/>
      <c r="Y13" s="2"/>
      <c r="Z13" s="2"/>
    </row>
    <row r="14">
      <c r="A14" s="1" t="s">
        <v>11</v>
      </c>
      <c r="B14" s="1" t="s">
        <v>76</v>
      </c>
      <c r="C14" s="1" t="s">
        <v>82</v>
      </c>
      <c r="D14" s="1" t="s">
        <v>83</v>
      </c>
      <c r="E14" s="1" t="s">
        <v>15</v>
      </c>
      <c r="F14" s="1" t="s">
        <v>84</v>
      </c>
      <c r="G14" s="1">
        <v>12.0</v>
      </c>
      <c r="H14" s="1" t="s">
        <v>85</v>
      </c>
      <c r="I14" s="1" t="s">
        <v>86</v>
      </c>
      <c r="J14" s="2" t="str">
        <f>IFERROR(__xludf.DUMMYFUNCTION("AI(""Fill an appropriate value for this cell based on the table context"")"),"Total prices, taxes, and shipping estimates did not recalculate accurately based on the new quantity.")</f>
        <v>Total prices, taxes, and shipping estimates did not recalculate accurately based on the new quantity.</v>
      </c>
      <c r="K14" s="4" t="s">
        <v>59</v>
      </c>
      <c r="L14" s="2"/>
      <c r="M14" s="2"/>
      <c r="N14" s="2"/>
      <c r="O14" s="2"/>
      <c r="P14" s="2"/>
      <c r="Q14" s="2"/>
      <c r="R14" s="2"/>
      <c r="S14" s="2"/>
      <c r="T14" s="2"/>
      <c r="U14" s="2"/>
      <c r="V14" s="2"/>
      <c r="W14" s="2"/>
      <c r="X14" s="2"/>
      <c r="Y14" s="2"/>
      <c r="Z14" s="2"/>
    </row>
    <row r="15">
      <c r="A15" s="1" t="s">
        <v>11</v>
      </c>
      <c r="B15" s="1" t="s">
        <v>76</v>
      </c>
      <c r="C15" s="1" t="s">
        <v>87</v>
      </c>
      <c r="D15" s="1" t="s">
        <v>88</v>
      </c>
      <c r="E15" s="1" t="s">
        <v>15</v>
      </c>
      <c r="F15" s="1" t="s">
        <v>89</v>
      </c>
      <c r="G15" s="1">
        <v>1.0</v>
      </c>
      <c r="H15" s="1" t="s">
        <v>90</v>
      </c>
      <c r="I15" s="1" t="s">
        <v>91</v>
      </c>
      <c r="J15" s="2" t="str">
        <f>IFERROR(__xludf.DUMMYFUNCTION("AI(""Fill an appropriate value for this cell based on the table context"")"),"Personal information step was validated and marked complete; user moved to the Address step.")</f>
        <v>Personal information step was validated and marked complete; user moved to the Address step.</v>
      </c>
      <c r="K15" s="3" t="s">
        <v>19</v>
      </c>
      <c r="L15" s="2"/>
      <c r="M15" s="2"/>
      <c r="N15" s="2"/>
      <c r="O15" s="2"/>
      <c r="P15" s="2"/>
      <c r="Q15" s="2"/>
      <c r="R15" s="2"/>
      <c r="S15" s="2"/>
      <c r="T15" s="2"/>
      <c r="U15" s="2"/>
      <c r="V15" s="2"/>
      <c r="W15" s="2"/>
      <c r="X15" s="2"/>
      <c r="Y15" s="2"/>
      <c r="Z15" s="2"/>
    </row>
    <row r="16">
      <c r="A16" s="1" t="s">
        <v>11</v>
      </c>
      <c r="B16" s="1" t="s">
        <v>76</v>
      </c>
      <c r="C16" s="1" t="s">
        <v>92</v>
      </c>
      <c r="D16" s="1" t="s">
        <v>93</v>
      </c>
      <c r="E16" s="1" t="s">
        <v>15</v>
      </c>
      <c r="F16" s="1" t="s">
        <v>94</v>
      </c>
      <c r="G16" s="1">
        <v>12.0</v>
      </c>
      <c r="H16" s="1" t="s">
        <v>95</v>
      </c>
      <c r="I16" s="1" t="s">
        <v>96</v>
      </c>
      <c r="J16" s="2" t="str">
        <f>IFERROR(__xludf.DUMMYFUNCTION("AI(""Fill an appropriate value for this cell based on the table context"")"),"Addresses were successfully saved and displayed in the summary check step; system advanced to Shipping.")</f>
        <v>Addresses were successfully saved and displayed in the summary check step; system advanced to Shipping.</v>
      </c>
      <c r="K16" s="3" t="s">
        <v>19</v>
      </c>
      <c r="L16" s="2"/>
      <c r="M16" s="2"/>
      <c r="N16" s="2"/>
      <c r="O16" s="2"/>
      <c r="P16" s="2"/>
      <c r="Q16" s="2"/>
      <c r="R16" s="2"/>
      <c r="S16" s="2"/>
      <c r="T16" s="2"/>
      <c r="U16" s="2"/>
      <c r="V16" s="2"/>
      <c r="W16" s="2"/>
      <c r="X16" s="2"/>
      <c r="Y16" s="2"/>
      <c r="Z16" s="2"/>
    </row>
    <row r="17">
      <c r="A17" s="1" t="s">
        <v>11</v>
      </c>
      <c r="B17" s="1" t="s">
        <v>76</v>
      </c>
      <c r="C17" s="1" t="s">
        <v>97</v>
      </c>
      <c r="D17" s="1" t="s">
        <v>98</v>
      </c>
      <c r="E17" s="1" t="s">
        <v>15</v>
      </c>
      <c r="F17" s="1" t="s">
        <v>99</v>
      </c>
      <c r="G17" s="1">
        <v>12.0</v>
      </c>
      <c r="H17" s="1" t="s">
        <v>100</v>
      </c>
      <c r="I17" s="1" t="s">
        <v>101</v>
      </c>
      <c r="J17" s="2" t="str">
        <f>IFERROR(__xludf.DUMMYFUNCTION("AI(""Fill an appropriate value for this cell based on the table context"")"),"Shipping cost was added to the cart order total; user advanced to the Payment step.")</f>
        <v>Shipping cost was added to the cart order total; user advanced to the Payment step.</v>
      </c>
      <c r="K17" s="3" t="s">
        <v>19</v>
      </c>
      <c r="L17" s="2"/>
      <c r="M17" s="2"/>
      <c r="N17" s="2"/>
      <c r="O17" s="2"/>
      <c r="P17" s="2"/>
      <c r="Q17" s="2"/>
      <c r="R17" s="2"/>
      <c r="S17" s="2"/>
      <c r="T17" s="2"/>
      <c r="U17" s="2"/>
      <c r="V17" s="2"/>
      <c r="W17" s="2"/>
      <c r="X17" s="2"/>
      <c r="Y17" s="2"/>
      <c r="Z17" s="2"/>
    </row>
    <row r="18">
      <c r="A18" s="1" t="s">
        <v>11</v>
      </c>
      <c r="B18" s="1" t="s">
        <v>76</v>
      </c>
      <c r="C18" s="1" t="s">
        <v>102</v>
      </c>
      <c r="D18" s="1" t="s">
        <v>103</v>
      </c>
      <c r="E18" s="1" t="s">
        <v>15</v>
      </c>
      <c r="F18" s="1" t="s">
        <v>104</v>
      </c>
      <c r="G18" s="1">
        <v>123.0</v>
      </c>
      <c r="H18" s="1" t="s">
        <v>105</v>
      </c>
      <c r="I18" s="1" t="s">
        <v>106</v>
      </c>
      <c r="J18" s="2" t="str">
        <f>IFERROR(__xludf.DUMMYFUNCTION("AI(""Fill an appropriate value for this cell based on the table context"")"),"Order confirmation page was displayed with an Order Reference Number; order status was set to ""Awaiting payment"".")</f>
        <v>Order confirmation page was displayed with an Order Reference Number; order status was set to "Awaiting payment".</v>
      </c>
      <c r="K18" s="3" t="s">
        <v>19</v>
      </c>
      <c r="L18" s="2"/>
      <c r="M18" s="2"/>
      <c r="N18" s="2"/>
      <c r="O18" s="2"/>
      <c r="P18" s="2"/>
      <c r="Q18" s="2"/>
      <c r="R18" s="2"/>
      <c r="S18" s="2"/>
      <c r="T18" s="2"/>
      <c r="U18" s="2"/>
      <c r="V18" s="2"/>
      <c r="W18" s="2"/>
      <c r="X18" s="2"/>
      <c r="Y18" s="2"/>
      <c r="Z18" s="2"/>
    </row>
    <row r="19">
      <c r="A19" s="1" t="s">
        <v>11</v>
      </c>
      <c r="B19" s="1" t="s">
        <v>76</v>
      </c>
      <c r="C19" s="1" t="s">
        <v>107</v>
      </c>
      <c r="D19" s="1" t="s">
        <v>108</v>
      </c>
      <c r="E19" s="1" t="s">
        <v>109</v>
      </c>
      <c r="F19" s="1" t="s">
        <v>110</v>
      </c>
      <c r="G19" s="1">
        <v>12.0</v>
      </c>
      <c r="H19" s="1" t="s">
        <v>111</v>
      </c>
      <c r="I19" s="1" t="s">
        <v>112</v>
      </c>
      <c r="J19" s="2" t="str">
        <f>IFERROR(__xludf.DUMMYFUNCTION("AI(""Fill an appropriate value for this cell based on the table context"")"),"The recently placed order was visible at the top of the list with the correct customer name, reference, and total cost.")</f>
        <v>The recently placed order was visible at the top of the list with the correct customer name, reference, and total cost.</v>
      </c>
      <c r="K19" s="3" t="s">
        <v>19</v>
      </c>
      <c r="L19" s="2"/>
      <c r="M19" s="2"/>
      <c r="N19" s="2"/>
      <c r="O19" s="2"/>
      <c r="P19" s="2"/>
      <c r="Q19" s="2"/>
      <c r="R19" s="2"/>
      <c r="S19" s="2"/>
      <c r="T19" s="2"/>
      <c r="U19" s="2"/>
      <c r="V19" s="2"/>
      <c r="W19" s="2"/>
      <c r="X19" s="2"/>
      <c r="Y19" s="2"/>
      <c r="Z19" s="2"/>
    </row>
    <row r="20">
      <c r="A20" s="1" t="s">
        <v>11</v>
      </c>
      <c r="B20" s="1" t="s">
        <v>26</v>
      </c>
      <c r="C20" s="1" t="s">
        <v>113</v>
      </c>
      <c r="D20" s="1" t="s">
        <v>114</v>
      </c>
      <c r="E20" s="1" t="s">
        <v>15</v>
      </c>
      <c r="F20" s="1" t="s">
        <v>115</v>
      </c>
      <c r="G20" s="1">
        <v>12.0</v>
      </c>
      <c r="H20" s="1" t="s">
        <v>116</v>
      </c>
      <c r="I20" s="1" t="s">
        <v>117</v>
      </c>
      <c r="J20" s="2" t="str">
        <f>IFERROR(__xludf.DUMMYFUNCTION("AI(""Fill an appropriate value for this cell based on the table context"")"),"The placed order was visible with the correct order reference, date, pricing, and current fulfillment status.")</f>
        <v>The placed order was visible with the correct order reference, date, pricing, and current fulfillment status.</v>
      </c>
      <c r="K20" s="3" t="s">
        <v>19</v>
      </c>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